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.mzabala\Local data\macropad_automator\host-scripts\"/>
    </mc:Choice>
  </mc:AlternateContent>
  <xr:revisionPtr revIDLastSave="0" documentId="13_ncr:1_{399AB9A8-7D56-4365-A056-BC0A70ABAC4D}" xr6:coauthVersionLast="47" xr6:coauthVersionMax="47" xr10:uidLastSave="{00000000-0000-0000-0000-000000000000}"/>
  <bookViews>
    <workbookView xWindow="2370" yWindow="-14610" windowWidth="21600" windowHeight="11700" xr2:uid="{F25BA907-62E5-4DE0-803B-72E5CA0E6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3" i="1"/>
  <c r="M14" i="1"/>
  <c r="M15" i="1"/>
  <c r="L9" i="1"/>
  <c r="L10" i="1"/>
  <c r="L11" i="1"/>
  <c r="L12" i="1"/>
  <c r="L13" i="1"/>
  <c r="L14" i="1"/>
  <c r="L15" i="1"/>
  <c r="L16" i="1"/>
  <c r="L17" i="1"/>
  <c r="L18" i="1"/>
  <c r="L19" i="1"/>
  <c r="L20" i="1"/>
  <c r="K9" i="1"/>
  <c r="M9" i="1" s="1"/>
  <c r="K10" i="1"/>
  <c r="K11" i="1"/>
  <c r="K12" i="1"/>
  <c r="M12" i="1" s="1"/>
  <c r="K13" i="1"/>
  <c r="K14" i="1"/>
  <c r="K15" i="1"/>
  <c r="K16" i="1"/>
  <c r="M16" i="1" s="1"/>
  <c r="K17" i="1"/>
  <c r="M17" i="1" s="1"/>
  <c r="K18" i="1"/>
  <c r="M18" i="1" s="1"/>
  <c r="K19" i="1"/>
  <c r="M19" i="1" s="1"/>
  <c r="K20" i="1"/>
  <c r="M20" i="1" s="1"/>
  <c r="P9" i="1"/>
  <c r="N10" i="1" s="1"/>
  <c r="N11" i="1" s="1"/>
  <c r="J9" i="1"/>
  <c r="J10" i="1"/>
  <c r="J11" i="1"/>
  <c r="J12" i="1"/>
  <c r="J13" i="1"/>
  <c r="J14" i="1"/>
  <c r="J15" i="1"/>
  <c r="J16" i="1"/>
  <c r="J17" i="1"/>
  <c r="J18" i="1"/>
  <c r="J19" i="1"/>
  <c r="J20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<sst xmlns="http://schemas.openxmlformats.org/spreadsheetml/2006/main" count="7" uniqueCount="7">
  <si>
    <t>Ratio</t>
  </si>
  <si>
    <t>Hor</t>
  </si>
  <si>
    <t>Ver</t>
  </si>
  <si>
    <t>%</t>
  </si>
  <si>
    <t>Vert</t>
  </si>
  <si>
    <t>Hor2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</si>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</sst>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161925</xdr:rowOff>
    </xdr:from>
    <xdr:to>
      <xdr:col>4</xdr:col>
      <xdr:colOff>333690</xdr:colOff>
      <xdr:row>31</xdr:row>
      <xdr:rowOff>67273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0C89D-7AD9-4C2B-5633-AB7BF960B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52425"/>
          <a:ext cx="2257740" cy="42868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3B700-FB14-47FB-BBF5-EB81842DF844}" name="Table1" displayName="Table1" ref="G8:M20" totalsRowShown="0">
  <autoFilter ref="G8:M20" xr:uid="{74F3B700-FB14-47FB-BBF5-EB81842DF844}">
    <filterColumn colId="6">
      <filters>
        <filter val="TRUE"/>
      </filters>
    </filterColumn>
  </autoFilter>
  <tableColumns count="7">
    <tableColumn id="1" xr3:uid="{C0824456-FD14-405A-88BA-F1A4599EED07}" name="Hor"/>
    <tableColumn id="2" xr3:uid="{62BFAFFA-A16A-418F-80BA-0766D7E71056}" name="Ver"/>
    <tableColumn id="3" xr3:uid="{E1B9CFE3-A891-4260-B46C-58A49AE8B4FB}" name="Ratio" dataDxfId="5" dataCellStyle="Percent">
      <calculatedColumnFormula>G9/H9</calculatedColumnFormula>
    </tableColumn>
    <tableColumn id="4" xr3:uid="{B91E335B-2807-4521-9854-46F0EDAEDAC2}" name="%" dataDxfId="4" dataCellStyle="Percent">
      <calculatedColumnFormula>(Table1[[#This Row],[Hor]]*Table1[[#This Row],[Ver]])/($G$9*$H$9)</calculatedColumnFormula>
    </tableColumn>
    <tableColumn id="5" xr3:uid="{326C0564-3986-45C8-AF40-8E81A5AE3EDD}" name="Vert" dataDxfId="3">
      <calculatedColumnFormula>Table1[[#This Row],[Hor]]/$G$9</calculatedColumnFormula>
    </tableColumn>
    <tableColumn id="6" xr3:uid="{23F9BB6F-D88A-4E1E-A105-C52B456ABB76}" name="Hor2" dataDxfId="2">
      <calculatedColumnFormula>Table1[[#This Row],[Ver]]/$H$9</calculatedColumnFormula>
    </tableColumn>
    <tableColumn id="7" xr3:uid="{627D3C5F-846E-4F63-B5F1-03FF778FD2F0}" name="Match" dataDxfId="1">
      <calculatedColumnFormula>Table1[[#This Row],[Vert]]=Table1[[#This Row],[Hor2]]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CC48-857D-4038-80CF-8DE97A674B4A}">
  <dimension ref="G8:P20"/>
  <sheetViews>
    <sheetView tabSelected="1" workbookViewId="0">
      <selection activeCell="J10" sqref="J10"/>
    </sheetView>
  </sheetViews>
  <sheetFormatPr defaultRowHeight="15" x14ac:dyDescent="0.25"/>
  <sheetData>
    <row r="8" spans="7:16" x14ac:dyDescent="0.25">
      <c r="G8" t="s">
        <v>1</v>
      </c>
      <c r="H8" t="s">
        <v>2</v>
      </c>
      <c r="I8" t="s">
        <v>0</v>
      </c>
      <c r="J8" t="s">
        <v>3</v>
      </c>
      <c r="K8" t="s">
        <v>4</v>
      </c>
      <c r="L8" t="s">
        <v>5</v>
      </c>
      <c r="M8" t="s">
        <v>6</v>
      </c>
    </row>
    <row r="9" spans="7:16" x14ac:dyDescent="0.25">
      <c r="G9">
        <v>2560</v>
      </c>
      <c r="H9">
        <v>1600</v>
      </c>
      <c r="I9" s="1">
        <f>G9/H9</f>
        <v>1.6</v>
      </c>
      <c r="J9" s="1">
        <f>(Table1[[#This Row],[Hor]]*Table1[[#This Row],[Ver]])/($G$9*$H$9)</f>
        <v>1</v>
      </c>
      <c r="K9">
        <f>Table1[[#This Row],[Hor]]/$G$9</f>
        <v>1</v>
      </c>
      <c r="L9">
        <f>Table1[[#This Row],[Ver]]/$H$9</f>
        <v>1</v>
      </c>
      <c r="M9" t="b">
        <f>Table1[[#This Row],[Vert]]=Table1[[#This Row],[Hor2]]</f>
        <v>1</v>
      </c>
      <c r="N9">
        <v>1920</v>
      </c>
      <c r="O9">
        <v>1080</v>
      </c>
      <c r="P9">
        <f>N9/O9</f>
        <v>1.7777777777777777</v>
      </c>
    </row>
    <row r="10" spans="7:16" hidden="1" x14ac:dyDescent="0.25">
      <c r="G10">
        <v>2048</v>
      </c>
      <c r="H10">
        <v>1536</v>
      </c>
      <c r="I10" s="1">
        <f>G10/H10</f>
        <v>1.3333333333333333</v>
      </c>
      <c r="J10" s="1">
        <f>(Table1[[#This Row],[Hor]]*Table1[[#This Row],[Ver]])/($G$9*$H$9)</f>
        <v>0.76800000000000002</v>
      </c>
      <c r="K10">
        <f>Table1[[#This Row],[Hor]]/$G$9</f>
        <v>0.8</v>
      </c>
      <c r="L10">
        <f>Table1[[#This Row],[Ver]]/$H$9</f>
        <v>0.96</v>
      </c>
      <c r="M10" t="b">
        <f>Table1[[#This Row],[Vert]]=Table1[[#This Row],[Hor2]]</f>
        <v>0</v>
      </c>
      <c r="N10">
        <f>P9*O10</f>
        <v>2560</v>
      </c>
      <c r="O10">
        <v>1440</v>
      </c>
    </row>
    <row r="11" spans="7:16" x14ac:dyDescent="0.25">
      <c r="G11">
        <v>1920</v>
      </c>
      <c r="H11">
        <v>1200</v>
      </c>
      <c r="I11" s="1">
        <f>G11/H11</f>
        <v>1.6</v>
      </c>
      <c r="J11" s="1">
        <f>(Table1[[#This Row],[Hor]]*Table1[[#This Row],[Ver]])/($G$9*$H$9)</f>
        <v>0.5625</v>
      </c>
      <c r="K11">
        <f>Table1[[#This Row],[Hor]]/$G$9</f>
        <v>0.75</v>
      </c>
      <c r="L11">
        <f>Table1[[#This Row],[Ver]]/$H$9</f>
        <v>0.75</v>
      </c>
      <c r="M11" t="b">
        <f>Table1[[#This Row],[Vert]]=Table1[[#This Row],[Hor2]]</f>
        <v>1</v>
      </c>
      <c r="N11">
        <f>N10-860-860</f>
        <v>840</v>
      </c>
    </row>
    <row r="12" spans="7:16" hidden="1" x14ac:dyDescent="0.25">
      <c r="G12">
        <v>1920</v>
      </c>
      <c r="H12">
        <v>1080</v>
      </c>
      <c r="I12" s="1">
        <f t="shared" ref="I12:I20" si="0">G12/H12</f>
        <v>1.7777777777777777</v>
      </c>
      <c r="J12" s="1">
        <f>(Table1[[#This Row],[Hor]]*Table1[[#This Row],[Ver]])/($G$9*$H$9)</f>
        <v>0.50624999999999998</v>
      </c>
      <c r="K12">
        <f>Table1[[#This Row],[Hor]]/$G$9</f>
        <v>0.75</v>
      </c>
      <c r="L12">
        <f>Table1[[#This Row],[Ver]]/$H$9</f>
        <v>0.67500000000000004</v>
      </c>
      <c r="M12" t="b">
        <f>Table1[[#This Row],[Vert]]=Table1[[#This Row],[Hor2]]</f>
        <v>0</v>
      </c>
    </row>
    <row r="13" spans="7:16" x14ac:dyDescent="0.25">
      <c r="G13">
        <v>1680</v>
      </c>
      <c r="H13">
        <v>1050</v>
      </c>
      <c r="I13" s="1">
        <f t="shared" si="0"/>
        <v>1.6</v>
      </c>
      <c r="J13" s="1">
        <f>(Table1[[#This Row],[Hor]]*Table1[[#This Row],[Ver]])/($G$9*$H$9)</f>
        <v>0.4306640625</v>
      </c>
      <c r="K13">
        <f>Table1[[#This Row],[Hor]]/$G$9</f>
        <v>0.65625</v>
      </c>
      <c r="L13">
        <f>Table1[[#This Row],[Ver]]/$H$9</f>
        <v>0.65625</v>
      </c>
      <c r="M13" t="b">
        <f>Table1[[#This Row],[Vert]]=Table1[[#This Row],[Hor2]]</f>
        <v>1</v>
      </c>
    </row>
    <row r="14" spans="7:16" hidden="1" x14ac:dyDescent="0.25">
      <c r="G14">
        <v>1600</v>
      </c>
      <c r="H14">
        <v>1200</v>
      </c>
      <c r="I14" s="1">
        <f t="shared" si="0"/>
        <v>1.3333333333333333</v>
      </c>
      <c r="J14" s="1">
        <f>(Table1[[#This Row],[Hor]]*Table1[[#This Row],[Ver]])/($G$9*$H$9)</f>
        <v>0.46875</v>
      </c>
      <c r="K14">
        <f>Table1[[#This Row],[Hor]]/$G$9</f>
        <v>0.625</v>
      </c>
      <c r="L14">
        <f>Table1[[#This Row],[Ver]]/$H$9</f>
        <v>0.75</v>
      </c>
      <c r="M14" t="b">
        <f>Table1[[#This Row],[Vert]]=Table1[[#This Row],[Hor2]]</f>
        <v>0</v>
      </c>
    </row>
    <row r="15" spans="7:16" x14ac:dyDescent="0.25">
      <c r="G15">
        <v>1600</v>
      </c>
      <c r="H15">
        <v>1000</v>
      </c>
      <c r="I15" s="1">
        <f t="shared" si="0"/>
        <v>1.6</v>
      </c>
      <c r="J15" s="1">
        <f>(Table1[[#This Row],[Hor]]*Table1[[#This Row],[Ver]])/($G$9*$H$9)</f>
        <v>0.390625</v>
      </c>
      <c r="K15">
        <f>Table1[[#This Row],[Hor]]/$G$9</f>
        <v>0.625</v>
      </c>
      <c r="L15">
        <f>Table1[[#This Row],[Ver]]/$H$9</f>
        <v>0.625</v>
      </c>
      <c r="M15" t="b">
        <f>Table1[[#This Row],[Vert]]=Table1[[#This Row],[Hor2]]</f>
        <v>1</v>
      </c>
    </row>
    <row r="16" spans="7:16" hidden="1" x14ac:dyDescent="0.25">
      <c r="G16">
        <v>1280</v>
      </c>
      <c r="H16">
        <v>1024</v>
      </c>
      <c r="I16" s="1">
        <f t="shared" si="0"/>
        <v>1.25</v>
      </c>
      <c r="J16" s="1">
        <f>(Table1[[#This Row],[Hor]]*Table1[[#This Row],[Ver]])/($G$9*$H$9)</f>
        <v>0.32</v>
      </c>
      <c r="K16">
        <f>Table1[[#This Row],[Hor]]/$G$9</f>
        <v>0.5</v>
      </c>
      <c r="L16">
        <f>Table1[[#This Row],[Ver]]/$H$9</f>
        <v>0.64</v>
      </c>
      <c r="M16" t="b">
        <f>Table1[[#This Row],[Vert]]=Table1[[#This Row],[Hor2]]</f>
        <v>0</v>
      </c>
    </row>
    <row r="17" spans="7:13" x14ac:dyDescent="0.25">
      <c r="G17">
        <v>1280</v>
      </c>
      <c r="H17">
        <v>800</v>
      </c>
      <c r="I17" s="1">
        <f t="shared" si="0"/>
        <v>1.6</v>
      </c>
      <c r="J17" s="1">
        <f>(Table1[[#This Row],[Hor]]*Table1[[#This Row],[Ver]])/($G$9*$H$9)</f>
        <v>0.25</v>
      </c>
      <c r="K17">
        <f>Table1[[#This Row],[Hor]]/$G$9</f>
        <v>0.5</v>
      </c>
      <c r="L17">
        <f>Table1[[#This Row],[Ver]]/$H$9</f>
        <v>0.5</v>
      </c>
      <c r="M17" t="b">
        <f>Table1[[#This Row],[Vert]]=Table1[[#This Row],[Hor2]]</f>
        <v>1</v>
      </c>
    </row>
    <row r="18" spans="7:13" hidden="1" x14ac:dyDescent="0.25">
      <c r="G18">
        <v>1280</v>
      </c>
      <c r="H18">
        <v>720</v>
      </c>
      <c r="I18" s="1">
        <f t="shared" si="0"/>
        <v>1.7777777777777777</v>
      </c>
      <c r="J18" s="1">
        <f>(Table1[[#This Row],[Hor]]*Table1[[#This Row],[Ver]])/($G$9*$H$9)</f>
        <v>0.22500000000000001</v>
      </c>
      <c r="K18">
        <f>Table1[[#This Row],[Hor]]/$G$9</f>
        <v>0.5</v>
      </c>
      <c r="L18">
        <f>Table1[[#This Row],[Ver]]/$H$9</f>
        <v>0.45</v>
      </c>
      <c r="M18" t="b">
        <f>Table1[[#This Row],[Vert]]=Table1[[#This Row],[Hor2]]</f>
        <v>0</v>
      </c>
    </row>
    <row r="19" spans="7:13" hidden="1" x14ac:dyDescent="0.25">
      <c r="G19">
        <v>1024</v>
      </c>
      <c r="H19">
        <v>768</v>
      </c>
      <c r="I19" s="1">
        <f t="shared" si="0"/>
        <v>1.3333333333333333</v>
      </c>
      <c r="J19" s="1">
        <f>(Table1[[#This Row],[Hor]]*Table1[[#This Row],[Ver]])/($G$9*$H$9)</f>
        <v>0.192</v>
      </c>
      <c r="K19">
        <f>Table1[[#This Row],[Hor]]/$G$9</f>
        <v>0.4</v>
      </c>
      <c r="L19">
        <f>Table1[[#This Row],[Ver]]/$H$9</f>
        <v>0.48</v>
      </c>
      <c r="M19" t="b">
        <f>Table1[[#This Row],[Vert]]=Table1[[#This Row],[Hor2]]</f>
        <v>0</v>
      </c>
    </row>
    <row r="20" spans="7:13" hidden="1" x14ac:dyDescent="0.25">
      <c r="G20">
        <v>800</v>
      </c>
      <c r="H20">
        <v>600</v>
      </c>
      <c r="I20" s="1">
        <f t="shared" si="0"/>
        <v>1.3333333333333333</v>
      </c>
      <c r="J20" s="1">
        <f>(Table1[[#This Row],[Hor]]*Table1[[#This Row],[Ver]])/($G$9*$H$9)</f>
        <v>0.1171875</v>
      </c>
      <c r="K20">
        <f>Table1[[#This Row],[Hor]]/$G$9</f>
        <v>0.3125</v>
      </c>
      <c r="L20">
        <f>Table1[[#This Row],[Ver]]/$H$9</f>
        <v>0.375</v>
      </c>
      <c r="M20" t="b">
        <f>Table1[[#This Row],[Vert]]=Table1[[#This Row],[Hor2]]</f>
        <v>0</v>
      </c>
    </row>
  </sheetData>
  <conditionalFormatting sqref="G9:M20">
    <cfRule type="expression" dxfId="0" priority="1">
      <formula>$M9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Martínez Zabala</dc:creator>
  <cp:lastModifiedBy>Raúl Martínez Zabala</cp:lastModifiedBy>
  <dcterms:created xsi:type="dcterms:W3CDTF">2025-05-26T13:38:43Z</dcterms:created>
  <dcterms:modified xsi:type="dcterms:W3CDTF">2026-05-18T11:37:57Z</dcterms:modified>
</cp:coreProperties>
</file>